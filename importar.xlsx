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udas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<sst xmlns="http://schemas.openxmlformats.org/spreadsheetml/2006/main" count="37" uniqueCount="37">
  <si>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PROVEEDORES</t>
  </si>
  <si>
    <t xml:space="preserve">Deuda</t>
  </si>
  <si>
    <t xml:space="preserve">Abonado</t>
  </si>
  <si>
    <t xml:space="preserve">Fechas de Abonos</t>
  </si>
  <si>
    <t xml:space="preserve">Resto deuda</t>
  </si>
  <si>
    <t xml:space="preserve">% avance</t>
  </si>
  <si>
    <t xml:space="preserve">vecina</t>
  </si>
  <si>
    <t xml:space="preserve">Sonia</t>
  </si>
  <si>
    <t xml:space="preserve">gabo</t>
  </si>
  <si>
    <t xml:space="preserve">Stori</t>
  </si>
  <si>
    <t xml:space="preserve">Lavadora</t>
  </si>
  <si>
    <t xml:space="preserve">Credito Israel</t>
  </si>
  <si>
    <t xml:space="preserve">Paola</t>
  </si>
  <si>
    <t xml:space="preserve">tiendas papantla</t>
  </si>
  <si>
    <t xml:space="preserve">ilich</t>
  </si>
  <si>
    <t xml:space="preserve">madre</t>
  </si>
  <si>
    <t xml:space="preserve">tala saori</t>
  </si>
  <si>
    <t xml:space="preserve">AVAFIN</t>
  </si>
  <si>
    <t xml:space="preserve">Vecino (moto)</t>
  </si>
  <si>
    <t xml:space="preserve">Payjoy</t>
  </si>
  <si>
    <t xml:space="preserve">Miguel (renta carro)</t>
  </si>
  <si>
    <t xml:space="preserve">Mantto mexico</t>
  </si>
  <si>
    <t xml:space="preserve">Hernan carne</t>
  </si>
  <si>
    <t xml:space="preserve">Tala</t>
  </si>
  <si>
    <t xml:space="preserve">Guadalupe Marquez</t>
  </si>
  <si>
    <t xml:space="preserve">Moneyman</t>
  </si>
  <si>
    <t xml:space="preserve">coppel sao</t>
  </si>
  <si>
    <t xml:space="preserve">Azteca Sao</t>
  </si>
  <si>
    <t xml:space="preserve">Predio Mexico</t>
  </si>
  <si>
    <t xml:space="preserve">Jorge</t>
  </si>
  <si>
    <t xml:space="preserve">Daniela Medina </t>
  </si>
  <si>
    <t xml:space="preserve">Sapasnir</t>
  </si>
  <si>
    <t xml:space="preserve">Coppel</t>
  </si>
  <si>
    <t xml:space="preserve">Gabriel</t>
  </si>
  <si>
    <t xml:space="preserve">Lalo</t>
  </si>
  <si>
    <t xml:space="preserve">Luis Marquez</t>
  </si>
  <si>
    <t xml:space="preserve">Infonavit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</si>
</sst>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\$* #,##0.00_-;&quot;-$&quot;* #,##0.00_-;_-\$* \-??_-;_-@_-"/>
    <numFmt numFmtId="166" formatCode="[$$-80A]#,##0;[RED]\-[$$-80A]#,##0"/>
    <numFmt numFmtId="167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theme="1"/>
      <name val="DejaVu Sans"/>
      <family val="2"/>
      <charset val="1"/>
    </font>
    <font>
      <sz val="11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Escritorio/Plan%20de%20accion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lan de accion 2024"/>
      <sheetName val="Control de pagos 2024"/>
      <sheetName val="Jorge"/>
      <sheetName val="Daniela"/>
      <sheetName val="Coppel sao"/>
      <sheetName val="Azteca sao"/>
      <sheetName val="SAPASNIR"/>
      <sheetName val="Pago de mantenimiento"/>
      <sheetName val="TALA"/>
      <sheetName val="AVAFIN"/>
    </sheetNames>
    <sheetDataSet>
      <sheetData sheetId="0"/>
      <sheetData sheetId="1"/>
      <sheetData sheetId="2">
        <row r="2">
          <cell r="B2">
            <v>23120</v>
          </cell>
        </row>
        <row r="22">
          <cell r="C22">
            <v>13212</v>
          </cell>
        </row>
      </sheetData>
      <sheetData sheetId="3">
        <row r="1">
          <cell r="B1" t="str">
            <v>Daniela</v>
          </cell>
        </row>
        <row r="2">
          <cell r="B2">
            <v>35000</v>
          </cell>
        </row>
        <row r="36">
          <cell r="C36">
            <v>0</v>
          </cell>
        </row>
      </sheetData>
      <sheetData sheetId="4">
        <row r="2">
          <cell r="B2">
            <v>6752</v>
          </cell>
        </row>
        <row r="17">
          <cell r="C17">
            <v>605</v>
          </cell>
        </row>
      </sheetData>
      <sheetData sheetId="5">
        <row r="2">
          <cell r="B2">
            <v>14900</v>
          </cell>
        </row>
        <row r="105">
          <cell r="C105">
            <v>7450</v>
          </cell>
        </row>
      </sheetData>
      <sheetData sheetId="6"/>
      <sheetData sheetId="7">
        <row r="15">
          <cell r="B15">
            <v>4400</v>
          </cell>
        </row>
        <row r="16">
          <cell r="B16">
            <v>570</v>
          </cell>
        </row>
      </sheetData>
      <sheetData sheetId="8"/>
      <sheetData sheetId="9">
        <row r="2">
          <cell r="B2">
            <v>2800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5"/>
    <col collapsed="false" customWidth="true" hidden="false" outlineLevel="0" max="4" min="4" style="0" width="35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1000</v>
      </c>
      <c r="C2" s="4" t="n">
        <v>1000</v>
      </c>
      <c r="D2" s="4"/>
      <c r="E2" s="4" t="n">
        <f aca="false">B2-C2</f>
        <v>0</v>
      </c>
      <c r="F2" s="5" t="n">
        <f aca="false">C2/B2</f>
        <v>1</v>
      </c>
    </row>
    <row r="3" customFormat="false" ht="15" hidden="false" customHeight="false" outlineLevel="0" collapsed="false">
      <c r="A3" s="2" t="s">
        <v>7</v>
      </c>
      <c r="B3" s="3" t="n">
        <v>5850</v>
      </c>
      <c r="C3" s="4" t="n">
        <v>5850</v>
      </c>
      <c r="D3" s="4"/>
      <c r="E3" s="4" t="n">
        <f aca="false">B3-C3</f>
        <v>0</v>
      </c>
      <c r="F3" s="5" t="n">
        <f aca="false">C3/B3</f>
        <v>1</v>
      </c>
    </row>
    <row r="4" customFormat="false" ht="15" hidden="false" customHeight="false" outlineLevel="0" collapsed="false">
      <c r="A4" s="2" t="s">
        <v>8</v>
      </c>
      <c r="B4" s="3" t="n">
        <v>130</v>
      </c>
      <c r="C4" s="4"/>
      <c r="D4" s="4"/>
      <c r="E4" s="4" t="n">
        <f aca="false">B4-C4</f>
        <v>130</v>
      </c>
      <c r="F4" s="5" t="n">
        <f aca="false">C4/B4</f>
        <v>0</v>
      </c>
    </row>
    <row r="5" customFormat="false" ht="15" hidden="false" customHeight="false" outlineLevel="0" collapsed="false">
      <c r="A5" s="2" t="s">
        <v>9</v>
      </c>
      <c r="B5" s="3" t="n">
        <v>1144.07</v>
      </c>
      <c r="C5" s="4" t="n">
        <v>844.07</v>
      </c>
      <c r="D5" s="4"/>
      <c r="E5" s="4" t="n">
        <f aca="false">B5-C5</f>
        <v>300</v>
      </c>
      <c r="F5" s="5" t="n">
        <f aca="false">C5/B5</f>
        <v>0.737778282797381</v>
      </c>
    </row>
    <row r="6" customFormat="false" ht="15" hidden="false" customHeight="false" outlineLevel="0" collapsed="false">
      <c r="A6" s="2" t="s">
        <v>10</v>
      </c>
      <c r="B6" s="3" t="n">
        <v>14990</v>
      </c>
      <c r="C6" s="4" t="n">
        <v>14590</v>
      </c>
      <c r="D6" s="4"/>
      <c r="E6" s="4" t="n">
        <f aca="false">B6-C6</f>
        <v>400</v>
      </c>
      <c r="F6" s="5" t="n">
        <f aca="false">C6/B6</f>
        <v>0.973315543695797</v>
      </c>
    </row>
    <row r="7" customFormat="false" ht="15" hidden="false" customHeight="false" outlineLevel="0" collapsed="false">
      <c r="A7" s="2" t="s">
        <v>11</v>
      </c>
      <c r="B7" s="3" t="n">
        <v>758</v>
      </c>
      <c r="C7" s="4"/>
      <c r="D7" s="4"/>
      <c r="E7" s="4" t="n">
        <f aca="false">B7-C7</f>
        <v>758</v>
      </c>
      <c r="F7" s="5" t="n">
        <f aca="false">C7/B7</f>
        <v>0</v>
      </c>
    </row>
    <row r="8" customFormat="false" ht="15" hidden="false" customHeight="false" outlineLevel="0" collapsed="false">
      <c r="A8" s="2" t="s">
        <v>12</v>
      </c>
      <c r="B8" s="3" t="n">
        <v>9000</v>
      </c>
      <c r="C8" s="4" t="n">
        <v>8200</v>
      </c>
      <c r="D8" s="4"/>
      <c r="E8" s="4" t="n">
        <f aca="false">B8-C8</f>
        <v>800</v>
      </c>
      <c r="F8" s="5" t="n">
        <f aca="false">C8/B8</f>
        <v>0.911111111111111</v>
      </c>
    </row>
    <row r="9" customFormat="false" ht="15" hidden="false" customHeight="false" outlineLevel="0" collapsed="false">
      <c r="A9" s="2" t="s">
        <v>13</v>
      </c>
      <c r="B9" s="3" t="n">
        <v>1600</v>
      </c>
      <c r="C9" s="4" t="n">
        <v>800</v>
      </c>
      <c r="D9" s="4"/>
      <c r="E9" s="4" t="n">
        <f aca="false">B9-C9</f>
        <v>800</v>
      </c>
      <c r="F9" s="5" t="n">
        <f aca="false">C9/B9</f>
        <v>0.5</v>
      </c>
    </row>
    <row r="10" customFormat="false" ht="15" hidden="false" customHeight="false" outlineLevel="0" collapsed="false">
      <c r="A10" s="2" t="s">
        <v>14</v>
      </c>
      <c r="B10" s="3" t="n">
        <v>1000</v>
      </c>
      <c r="C10" s="4"/>
      <c r="D10" s="4"/>
      <c r="E10" s="4" t="n">
        <f aca="false">B10-C10</f>
        <v>1000</v>
      </c>
      <c r="F10" s="5" t="n">
        <f aca="false">C10/B10</f>
        <v>0</v>
      </c>
    </row>
    <row r="11" customFormat="false" ht="15" hidden="false" customHeight="false" outlineLevel="0" collapsed="false">
      <c r="A11" s="2" t="s">
        <v>15</v>
      </c>
      <c r="B11" s="3" t="n">
        <v>1053</v>
      </c>
      <c r="C11" s="4"/>
      <c r="D11" s="4"/>
      <c r="E11" s="4" t="n">
        <f aca="false">B11-C11</f>
        <v>1053</v>
      </c>
      <c r="F11" s="5" t="n">
        <f aca="false">C11/B11</f>
        <v>0</v>
      </c>
    </row>
    <row r="12" customFormat="false" ht="15" hidden="false" customHeight="false" outlineLevel="0" collapsed="false">
      <c r="A12" s="2" t="s">
        <v>16</v>
      </c>
      <c r="B12" s="3" t="n">
        <v>1900</v>
      </c>
      <c r="C12" s="4"/>
      <c r="D12" s="4"/>
      <c r="E12" s="4" t="n">
        <f aca="false">B12-C12</f>
        <v>1900</v>
      </c>
      <c r="F12" s="5" t="n">
        <f aca="false">C12/B12</f>
        <v>0</v>
      </c>
    </row>
    <row r="13" customFormat="false" ht="15" hidden="false" customHeight="false" outlineLevel="0" collapsed="false">
      <c r="A13" s="2" t="s">
        <v>17</v>
      </c>
      <c r="B13" s="3" t="n">
        <f aca="false">[1]AVAFIN!B2</f>
        <v>2800</v>
      </c>
      <c r="C13" s="4"/>
      <c r="D13" s="4"/>
      <c r="E13" s="4" t="n">
        <f aca="false">B13-C13</f>
        <v>2800</v>
      </c>
      <c r="F13" s="5" t="n">
        <f aca="false">C13/B13</f>
        <v>0</v>
      </c>
    </row>
    <row r="14" customFormat="false" ht="15" hidden="false" customHeight="false" outlineLevel="0" collapsed="false">
      <c r="A14" s="2" t="s">
        <v>18</v>
      </c>
      <c r="B14" s="3" t="n">
        <v>3000</v>
      </c>
      <c r="C14" s="4"/>
      <c r="D14" s="4"/>
      <c r="E14" s="4" t="n">
        <f aca="false">B14-C14</f>
        <v>3000</v>
      </c>
      <c r="F14" s="5" t="n">
        <f aca="false">C14/B14</f>
        <v>0</v>
      </c>
    </row>
    <row r="15" customFormat="false" ht="15" hidden="false" customHeight="false" outlineLevel="0" collapsed="false">
      <c r="A15" s="2" t="s">
        <v>19</v>
      </c>
      <c r="B15" s="3" t="n">
        <v>3700</v>
      </c>
      <c r="C15" s="4" t="n">
        <v>234.34</v>
      </c>
      <c r="D15" s="4"/>
      <c r="E15" s="4" t="n">
        <f aca="false">B15-C15</f>
        <v>3465.66</v>
      </c>
      <c r="F15" s="5" t="n">
        <f aca="false">C15/B15</f>
        <v>0.0633351351351351</v>
      </c>
    </row>
    <row r="16" customFormat="false" ht="15" hidden="false" customHeight="false" outlineLevel="0" collapsed="false">
      <c r="A16" s="2" t="s">
        <v>20</v>
      </c>
      <c r="B16" s="3" t="n">
        <v>3800</v>
      </c>
      <c r="C16" s="4"/>
      <c r="D16" s="4"/>
      <c r="E16" s="4" t="n">
        <f aca="false">B16-C16</f>
        <v>3800</v>
      </c>
      <c r="F16" s="5" t="n">
        <f aca="false">C16/B16</f>
        <v>0</v>
      </c>
    </row>
    <row r="17" customFormat="false" ht="15" hidden="false" customHeight="false" outlineLevel="0" collapsed="false">
      <c r="A17" s="2" t="s">
        <v>21</v>
      </c>
      <c r="B17" s="3" t="n">
        <f aca="false">'[1]Pago de mantenimiento'!B15</f>
        <v>4400</v>
      </c>
      <c r="C17" s="4" t="n">
        <f aca="false">'[1]Pago de mantenimiento'!B16</f>
        <v>570</v>
      </c>
      <c r="D17" s="4"/>
      <c r="E17" s="4" t="n">
        <f aca="false">B17-C17</f>
        <v>3830</v>
      </c>
      <c r="F17" s="5" t="n">
        <f aca="false">C17/B17</f>
        <v>0.129545454545455</v>
      </c>
    </row>
    <row r="18" customFormat="false" ht="15" hidden="false" customHeight="false" outlineLevel="0" collapsed="false">
      <c r="A18" s="2" t="s">
        <v>22</v>
      </c>
      <c r="B18" s="3" t="n">
        <v>4200</v>
      </c>
      <c r="C18" s="4"/>
      <c r="D18" s="4"/>
      <c r="E18" s="4" t="n">
        <f aca="false">B18-C18</f>
        <v>4200</v>
      </c>
      <c r="F18" s="5" t="n">
        <f aca="false">C18/B18</f>
        <v>0</v>
      </c>
    </row>
    <row r="19" customFormat="false" ht="15" hidden="false" customHeight="false" outlineLevel="0" collapsed="false">
      <c r="A19" s="2" t="s">
        <v>23</v>
      </c>
      <c r="B19" s="3" t="n">
        <v>4360</v>
      </c>
      <c r="C19" s="4"/>
      <c r="D19" s="4"/>
      <c r="E19" s="4" t="n">
        <f aca="false">B19-C19</f>
        <v>4360</v>
      </c>
      <c r="F19" s="5" t="n">
        <f aca="false">C19/B19</f>
        <v>0</v>
      </c>
    </row>
    <row r="20" customFormat="false" ht="15" hidden="false" customHeight="false" outlineLevel="0" collapsed="false">
      <c r="A20" s="2" t="s">
        <v>24</v>
      </c>
      <c r="B20" s="3" t="n">
        <v>6000</v>
      </c>
      <c r="C20" s="4"/>
      <c r="D20" s="4"/>
      <c r="E20" s="4" t="n">
        <f aca="false">B20-C20</f>
        <v>6000</v>
      </c>
      <c r="F20" s="5" t="n">
        <f aca="false">C20/B20</f>
        <v>0</v>
      </c>
    </row>
    <row r="21" customFormat="false" ht="15" hidden="false" customHeight="false" outlineLevel="0" collapsed="false">
      <c r="A21" s="2" t="s">
        <v>25</v>
      </c>
      <c r="B21" s="3" t="n">
        <v>6000</v>
      </c>
      <c r="C21" s="4"/>
      <c r="D21" s="4"/>
      <c r="E21" s="4" t="n">
        <f aca="false">B21-C21</f>
        <v>6000</v>
      </c>
      <c r="F21" s="5" t="n">
        <f aca="false">C21/B21</f>
        <v>0</v>
      </c>
    </row>
    <row r="22" customFormat="false" ht="15" hidden="false" customHeight="false" outlineLevel="0" collapsed="false">
      <c r="A22" s="2" t="s">
        <v>26</v>
      </c>
      <c r="B22" s="3" t="n">
        <f aca="false">'[1]Coppel sao'!B2</f>
        <v>6752</v>
      </c>
      <c r="C22" s="4" t="n">
        <f aca="false">'[1]Coppel sao'!C17</f>
        <v>605</v>
      </c>
      <c r="D22" s="4"/>
      <c r="E22" s="4" t="n">
        <f aca="false">B22-C22</f>
        <v>6147</v>
      </c>
      <c r="F22" s="5" t="n">
        <f aca="false">C22/B22</f>
        <v>0.0896030805687204</v>
      </c>
    </row>
    <row r="23" customFormat="false" ht="15" hidden="false" customHeight="false" outlineLevel="0" collapsed="false">
      <c r="A23" s="2" t="s">
        <v>27</v>
      </c>
      <c r="B23" s="3" t="n">
        <f aca="false">'[1]Azteca sao'!B2</f>
        <v>14900</v>
      </c>
      <c r="C23" s="4" t="n">
        <f aca="false">'[1]Azteca sao'!C105</f>
        <v>7450</v>
      </c>
      <c r="D23" s="4"/>
      <c r="E23" s="4" t="n">
        <f aca="false">B23-C23</f>
        <v>7450</v>
      </c>
      <c r="F23" s="5" t="n">
        <f aca="false">C23/B23</f>
        <v>0.5</v>
      </c>
    </row>
    <row r="24" customFormat="false" ht="15" hidden="false" customHeight="false" outlineLevel="0" collapsed="false">
      <c r="A24" s="2" t="s">
        <v>28</v>
      </c>
      <c r="B24" s="3" t="n">
        <v>9217</v>
      </c>
      <c r="C24" s="4"/>
      <c r="D24" s="4"/>
      <c r="E24" s="4" t="n">
        <f aca="false">B24-C24</f>
        <v>9217</v>
      </c>
      <c r="F24" s="5" t="n">
        <f aca="false">C24/B24</f>
        <v>0</v>
      </c>
    </row>
    <row r="25" customFormat="false" ht="15" hidden="false" customHeight="false" outlineLevel="0" collapsed="false">
      <c r="A25" s="2" t="s">
        <v>29</v>
      </c>
      <c r="B25" s="3" t="n">
        <f aca="false">[1]Jorge!B2</f>
        <v>23120</v>
      </c>
      <c r="C25" s="4" t="n">
        <f aca="false">[1]Jorge!C22</f>
        <v>13212</v>
      </c>
      <c r="D25" s="4"/>
      <c r="E25" s="4" t="n">
        <f aca="false">B25-C25</f>
        <v>9908</v>
      </c>
      <c r="F25" s="5" t="n">
        <f aca="false">C25/B25</f>
        <v>0.571453287197232</v>
      </c>
    </row>
    <row r="26" customFormat="false" ht="15" hidden="false" customHeight="false" outlineLevel="0" collapsed="false">
      <c r="A26" s="2" t="s">
        <v>30</v>
      </c>
      <c r="B26" s="3" t="n">
        <v>15000</v>
      </c>
      <c r="C26" s="4" t="n">
        <v>345</v>
      </c>
      <c r="D26" s="4"/>
      <c r="E26" s="4" t="n">
        <f aca="false">B26-C26</f>
        <v>14655</v>
      </c>
      <c r="F26" s="5" t="n">
        <f aca="false">C26/B26</f>
        <v>0.023</v>
      </c>
    </row>
    <row r="27" customFormat="false" ht="15" hidden="false" customHeight="false" outlineLevel="0" collapsed="false">
      <c r="A27" s="2" t="s">
        <v>31</v>
      </c>
      <c r="B27" s="3" t="n">
        <v>22000</v>
      </c>
      <c r="C27" s="4"/>
      <c r="D27" s="4"/>
      <c r="E27" s="4" t="n">
        <f aca="false">B27-C27</f>
        <v>22000</v>
      </c>
      <c r="F27" s="5" t="n">
        <f aca="false">C27/B27</f>
        <v>0</v>
      </c>
    </row>
    <row r="28" customFormat="false" ht="15" hidden="false" customHeight="false" outlineLevel="0" collapsed="false">
      <c r="A28" s="2" t="s">
        <v>32</v>
      </c>
      <c r="B28" s="3" t="n">
        <v>24689</v>
      </c>
      <c r="C28" s="4"/>
      <c r="D28" s="4"/>
      <c r="E28" s="4" t="n">
        <f aca="false">B28-C28</f>
        <v>24689</v>
      </c>
      <c r="F28" s="5" t="n">
        <f aca="false">C28/B28</f>
        <v>0</v>
      </c>
    </row>
    <row r="29" customFormat="false" ht="15" hidden="false" customHeight="false" outlineLevel="0" collapsed="false">
      <c r="A29" s="2" t="s">
        <v>33</v>
      </c>
      <c r="B29" s="3" t="n">
        <v>25000</v>
      </c>
      <c r="C29" s="4"/>
      <c r="D29" s="4"/>
      <c r="E29" s="4" t="n">
        <f aca="false">B29-C29</f>
        <v>25000</v>
      </c>
      <c r="F29" s="5" t="n">
        <f aca="false">C29/B29</f>
        <v>0</v>
      </c>
    </row>
    <row r="30" customFormat="false" ht="15" hidden="false" customHeight="false" outlineLevel="0" collapsed="false">
      <c r="A30" s="2" t="str">
        <f aca="false">[1]Daniela!B1</f>
        <v>Daniela</v>
      </c>
      <c r="B30" s="3" t="n">
        <f aca="false">[1]Daniela!B2</f>
        <v>35000</v>
      </c>
      <c r="C30" s="4" t="n">
        <f aca="false">[1]Daniela!C36</f>
        <v>0</v>
      </c>
      <c r="D30" s="4"/>
      <c r="E30" s="4" t="n">
        <f aca="false">B30-C30</f>
        <v>35000</v>
      </c>
      <c r="F30" s="5" t="n">
        <f aca="false">C30/B30</f>
        <v>0</v>
      </c>
    </row>
    <row r="31" customFormat="false" ht="15" hidden="false" customHeight="false" outlineLevel="0" collapsed="false">
      <c r="A31" s="2" t="s">
        <v>34</v>
      </c>
      <c r="B31" s="3" t="n">
        <v>62000</v>
      </c>
      <c r="C31" s="4" t="n">
        <v>0</v>
      </c>
      <c r="D31" s="4"/>
      <c r="E31" s="4" t="n">
        <f aca="false">B31-C31</f>
        <v>62000</v>
      </c>
      <c r="F31" s="5" t="n">
        <f aca="false">C31/B31</f>
        <v>0</v>
      </c>
    </row>
    <row r="32" customFormat="false" ht="15" hidden="false" customHeight="false" outlineLevel="0" collapsed="false">
      <c r="A32" s="2" t="s">
        <v>35</v>
      </c>
      <c r="B32" s="3" t="n">
        <v>84370</v>
      </c>
      <c r="C32" s="4"/>
      <c r="D32" s="4"/>
      <c r="E32" s="4" t="n">
        <f aca="false">B32-C32</f>
        <v>84370</v>
      </c>
      <c r="F32" s="5" t="n">
        <f aca="false">C32/B32</f>
        <v>0</v>
      </c>
    </row>
    <row r="33" customFormat="false" ht="15" hidden="false" customHeight="false" outlineLevel="0" collapsed="false">
      <c r="A33" s="2" t="s">
        <v>36</v>
      </c>
      <c r="B33" s="3" t="n">
        <v>1400000</v>
      </c>
      <c r="C33" s="4"/>
      <c r="D33" s="4"/>
      <c r="E33" s="4" t="n">
        <f aca="false">B33-C33</f>
        <v>1400000</v>
      </c>
      <c r="F33" s="5" t="n">
        <f aca="false">C33/B33</f>
        <v>0</v>
      </c>
    </row>
  </sheetData>
  <conditionalFormatting sqref="F2:F33">
    <cfRule type="colorScale" priority="2">
      <colorScale>
        <cfvo type="percent" val="0"/>
        <cfvo type="percent" val="100"/>
        <color rgb="FFFF0000"/>
        <color rgb="FF00CC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2026-05-04T02:51:25Z</dcterms:created>
  <dc:creator>openpyxl</dc:creator>
  <dc:description/>
  <dc:language>es-MX</dc:language>
  <cp:lastModifiedBy/>
  <dcterms:modified xsi:type="dcterms:W3CDTF">2026-05-03T20:54:37Z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